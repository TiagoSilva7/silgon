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PainelDinamico\"/>
    </mc:Choice>
  </mc:AlternateContent>
  <xr:revisionPtr revIDLastSave="0" documentId="8_{0BD47A4C-97B3-4EAF-8955-2DE338FBE448}" xr6:coauthVersionLast="47" xr6:coauthVersionMax="47" xr10:uidLastSave="{00000000-0000-0000-0000-000000000000}"/>
  <bookViews>
    <workbookView xWindow="1515" yWindow="615" windowWidth="25440" windowHeight="15015" xr2:uid="{B743B6B2-B339-40BB-A40D-6A2C916C9D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2" i="1"/>
  <c r="K11" i="1"/>
  <c r="K10" i="1"/>
  <c r="K9" i="1"/>
  <c r="K8" i="1"/>
  <c r="K7" i="1"/>
  <c r="K6" i="1"/>
  <c r="K5" i="1"/>
  <c r="K4" i="1"/>
  <c r="K3" i="1"/>
  <c r="I13" i="1"/>
  <c r="I12" i="1"/>
  <c r="I11" i="1"/>
  <c r="I10" i="1"/>
  <c r="I9" i="1"/>
  <c r="I8" i="1"/>
  <c r="I7" i="1"/>
  <c r="I6" i="1"/>
  <c r="I5" i="1"/>
  <c r="I4" i="1"/>
  <c r="I3" i="1"/>
  <c r="K2" i="1"/>
  <c r="I2" i="1"/>
  <c r="G13" i="1"/>
  <c r="G12" i="1"/>
  <c r="G11" i="1"/>
  <c r="G10" i="1"/>
  <c r="G9" i="1"/>
  <c r="G8" i="1"/>
  <c r="G7" i="1"/>
  <c r="G6" i="1"/>
  <c r="G5" i="1"/>
  <c r="G4" i="1"/>
  <c r="G3" i="1"/>
  <c r="G2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<sst xmlns="http://schemas.openxmlformats.org/spreadsheetml/2006/main" count="35" uniqueCount="27">
  <si>
    <t>Diretoria</t>
  </si>
  <si>
    <t>Area</t>
  </si>
  <si>
    <t>Headcount proprio previsto (Qtd)</t>
  </si>
  <si>
    <t>Headcount proprio realizado (Qtd)</t>
  </si>
  <si>
    <t>Headcount terceiro previsto (Qtd)</t>
  </si>
  <si>
    <t>Headcount realizado realizado (Qtd)</t>
  </si>
  <si>
    <t>Headcount proprio previsto (R$)</t>
  </si>
  <si>
    <t>Headcount proprio realizado (R$)</t>
  </si>
  <si>
    <t>Headcount terceiro previsto (R$)</t>
  </si>
  <si>
    <t>Headcount realizado realizado (R$)</t>
  </si>
  <si>
    <t>Diretoria de Operações Financeiras</t>
  </si>
  <si>
    <t>Tesouraria</t>
  </si>
  <si>
    <t>Contas a Pagar/Receber</t>
  </si>
  <si>
    <t>Planejamento Financeiro</t>
  </si>
  <si>
    <t>Diretoria de Tecnologia e Produto</t>
  </si>
  <si>
    <t>Desenvolvimento Backend</t>
  </si>
  <si>
    <t>User Experience (UX)</t>
  </si>
  <si>
    <t>Infraestrutura e Cloud</t>
  </si>
  <si>
    <t>Riscos e Compliance</t>
  </si>
  <si>
    <t>Prevenção a Fraudes</t>
  </si>
  <si>
    <t>Jurídico e Regulatório</t>
  </si>
  <si>
    <t>Análise de Crédito</t>
  </si>
  <si>
    <t>Crescimento e Marketing</t>
  </si>
  <si>
    <t>Aquisição de Usuários</t>
  </si>
  <si>
    <t>CRM e Engajamento</t>
  </si>
  <si>
    <t>Branding</t>
  </si>
  <si>
    <t>AnoMes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</si>
</sst>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897E-FF90-4AA0-837D-989045A38347}">
  <dimension ref="A1:K14"/>
  <sheetViews>
    <sheetView tabSelected="1" workbookViewId="0">
      <selection activeCell="K14" sqref="K14"/>
    </sheetView>
  </sheetViews>
  <sheetFormatPr defaultColWidth="10.7109375" defaultRowHeight="15" x14ac:dyDescent="0.25"/>
  <cols>
    <col min="1" max="1" width="32.85546875" bestFit="1" customWidth="1"/>
    <col min="2" max="2" width="24.42578125" bestFit="1" customWidth="1"/>
    <col min="3" max="3" width="8" bestFit="1" customWidth="1"/>
    <col min="4" max="11" width="10.5703125" bestFit="1" customWidth="1"/>
  </cols>
  <sheetData>
    <row r="1" spans="1:11" s="1" customFormat="1" ht="60" x14ac:dyDescent="0.25">
      <c r="A1" s="1" t="s">
        <v>0</v>
      </c>
      <c r="B1" s="1" t="s">
        <v>1</v>
      </c>
      <c r="C1" s="1" t="s">
        <v>26</v>
      </c>
      <c r="D1" s="1" t="s">
        <v>2</v>
      </c>
      <c r="E1" s="1" t="s">
        <v>6</v>
      </c>
      <c r="F1" s="1" t="s">
        <v>3</v>
      </c>
      <c r="G1" s="1" t="s">
        <v>7</v>
      </c>
      <c r="H1" s="1" t="s">
        <v>4</v>
      </c>
      <c r="I1" s="1" t="s">
        <v>8</v>
      </c>
      <c r="J1" s="1" t="s">
        <v>5</v>
      </c>
      <c r="K1" s="1" t="s">
        <v>9</v>
      </c>
    </row>
    <row r="2" spans="1:11" x14ac:dyDescent="0.25">
      <c r="A2" t="s">
        <v>10</v>
      </c>
      <c r="B2" t="s">
        <v>11</v>
      </c>
      <c r="C2">
        <v>202512</v>
      </c>
      <c r="D2">
        <v>150</v>
      </c>
      <c r="E2">
        <f>D2*1500</f>
        <v>225000</v>
      </c>
      <c r="F2">
        <v>100</v>
      </c>
      <c r="G2">
        <f>F2*1500</f>
        <v>150000</v>
      </c>
      <c r="H2">
        <v>10</v>
      </c>
      <c r="I2">
        <f>H2*2500</f>
        <v>25000</v>
      </c>
      <c r="J2">
        <v>5</v>
      </c>
      <c r="K2">
        <f>J2*2500</f>
        <v>12500</v>
      </c>
    </row>
    <row r="3" spans="1:11" x14ac:dyDescent="0.25">
      <c r="A3" t="s">
        <v>10</v>
      </c>
      <c r="B3" t="s">
        <v>12</v>
      </c>
      <c r="C3">
        <v>202512</v>
      </c>
      <c r="D3">
        <v>200</v>
      </c>
      <c r="E3">
        <f>D3*1800</f>
        <v>360000</v>
      </c>
      <c r="F3">
        <v>250</v>
      </c>
      <c r="G3">
        <f>F3*1800</f>
        <v>450000</v>
      </c>
      <c r="H3">
        <v>20</v>
      </c>
      <c r="I3">
        <f>H3*3000</f>
        <v>60000</v>
      </c>
      <c r="J3">
        <v>10</v>
      </c>
      <c r="K3">
        <f>J3*3000</f>
        <v>30000</v>
      </c>
    </row>
    <row r="4" spans="1:11" x14ac:dyDescent="0.25">
      <c r="A4" t="s">
        <v>10</v>
      </c>
      <c r="B4" t="s">
        <v>13</v>
      </c>
      <c r="C4">
        <v>202512</v>
      </c>
      <c r="D4">
        <v>150</v>
      </c>
      <c r="E4">
        <f>D4*1300</f>
        <v>195000</v>
      </c>
      <c r="F4">
        <v>50</v>
      </c>
      <c r="G4">
        <f>F4*1300</f>
        <v>65000</v>
      </c>
      <c r="H4">
        <v>30</v>
      </c>
      <c r="I4">
        <f>H4*9800</f>
        <v>294000</v>
      </c>
      <c r="J4">
        <v>25</v>
      </c>
      <c r="K4">
        <f>J4*9800</f>
        <v>245000</v>
      </c>
    </row>
    <row r="5" spans="1:11" x14ac:dyDescent="0.25">
      <c r="A5" t="s">
        <v>14</v>
      </c>
      <c r="B5" t="s">
        <v>15</v>
      </c>
      <c r="C5">
        <v>202512</v>
      </c>
      <c r="D5">
        <v>10</v>
      </c>
      <c r="E5">
        <f>D5*1000</f>
        <v>10000</v>
      </c>
      <c r="F5">
        <v>2</v>
      </c>
      <c r="G5">
        <f>F5*1000</f>
        <v>2000</v>
      </c>
      <c r="H5">
        <v>55</v>
      </c>
      <c r="I5">
        <f>H5*2300</f>
        <v>126500</v>
      </c>
      <c r="J5">
        <v>98</v>
      </c>
      <c r="K5">
        <f>J5*2300</f>
        <v>225400</v>
      </c>
    </row>
    <row r="6" spans="1:11" x14ac:dyDescent="0.25">
      <c r="A6" t="s">
        <v>14</v>
      </c>
      <c r="B6" t="s">
        <v>16</v>
      </c>
      <c r="C6">
        <v>202512</v>
      </c>
      <c r="D6">
        <v>22</v>
      </c>
      <c r="E6">
        <f>D6*200</f>
        <v>4400</v>
      </c>
      <c r="F6">
        <v>1</v>
      </c>
      <c r="G6">
        <f>F6*200</f>
        <v>200</v>
      </c>
      <c r="H6">
        <v>89</v>
      </c>
      <c r="I6">
        <f>H6*7500</f>
        <v>667500</v>
      </c>
      <c r="J6">
        <v>56</v>
      </c>
      <c r="K6">
        <f>J6*7500</f>
        <v>420000</v>
      </c>
    </row>
    <row r="7" spans="1:11" x14ac:dyDescent="0.25">
      <c r="A7" t="s">
        <v>14</v>
      </c>
      <c r="B7" t="s">
        <v>17</v>
      </c>
      <c r="C7">
        <v>202512</v>
      </c>
      <c r="D7">
        <v>3</v>
      </c>
      <c r="E7">
        <f>D7*500</f>
        <v>1500</v>
      </c>
      <c r="F7">
        <v>15</v>
      </c>
      <c r="G7">
        <f>F7*500</f>
        <v>7500</v>
      </c>
      <c r="H7">
        <v>52</v>
      </c>
      <c r="I7">
        <f>H7*10500</f>
        <v>546000</v>
      </c>
      <c r="J7">
        <v>24</v>
      </c>
      <c r="K7">
        <f>J7*10500</f>
        <v>252000</v>
      </c>
    </row>
    <row r="8" spans="1:11" x14ac:dyDescent="0.25">
      <c r="A8" t="s">
        <v>18</v>
      </c>
      <c r="B8" t="s">
        <v>19</v>
      </c>
      <c r="C8">
        <v>202512</v>
      </c>
      <c r="D8">
        <v>9</v>
      </c>
      <c r="E8">
        <f>D8*100</f>
        <v>900</v>
      </c>
      <c r="F8">
        <v>5</v>
      </c>
      <c r="G8">
        <f>F8*100</f>
        <v>500</v>
      </c>
      <c r="H8">
        <v>12</v>
      </c>
      <c r="I8">
        <f>H8*500</f>
        <v>6000</v>
      </c>
      <c r="J8">
        <v>21</v>
      </c>
      <c r="K8">
        <f>J8*500</f>
        <v>10500</v>
      </c>
    </row>
    <row r="9" spans="1:11" x14ac:dyDescent="0.25">
      <c r="A9" t="s">
        <v>18</v>
      </c>
      <c r="B9" t="s">
        <v>20</v>
      </c>
      <c r="C9">
        <v>202512</v>
      </c>
      <c r="D9">
        <v>8</v>
      </c>
      <c r="E9">
        <f>D9*150</f>
        <v>1200</v>
      </c>
      <c r="F9">
        <v>6</v>
      </c>
      <c r="G9">
        <f>F9*150</f>
        <v>900</v>
      </c>
      <c r="H9">
        <v>34</v>
      </c>
      <c r="I9">
        <f>H9*200</f>
        <v>6800</v>
      </c>
      <c r="J9">
        <v>47</v>
      </c>
      <c r="K9">
        <f>J9*200</f>
        <v>9400</v>
      </c>
    </row>
    <row r="10" spans="1:11" x14ac:dyDescent="0.25">
      <c r="A10" t="s">
        <v>18</v>
      </c>
      <c r="B10" t="s">
        <v>21</v>
      </c>
      <c r="C10">
        <v>202512</v>
      </c>
      <c r="D10">
        <v>7</v>
      </c>
      <c r="E10">
        <f>D10*250</f>
        <v>1750</v>
      </c>
      <c r="F10">
        <v>4</v>
      </c>
      <c r="G10">
        <f>F10*250</f>
        <v>1000</v>
      </c>
      <c r="H10">
        <v>35</v>
      </c>
      <c r="I10">
        <f>H10*1500</f>
        <v>52500</v>
      </c>
      <c r="J10">
        <v>85</v>
      </c>
      <c r="K10">
        <f>J10*1500</f>
        <v>127500</v>
      </c>
    </row>
    <row r="11" spans="1:11" x14ac:dyDescent="0.25">
      <c r="A11" t="s">
        <v>22</v>
      </c>
      <c r="B11" t="s">
        <v>23</v>
      </c>
      <c r="C11">
        <v>202512</v>
      </c>
      <c r="D11">
        <v>1</v>
      </c>
      <c r="E11">
        <f>D11*9800</f>
        <v>9800</v>
      </c>
      <c r="F11">
        <v>8</v>
      </c>
      <c r="G11">
        <f>F11*9800</f>
        <v>78400</v>
      </c>
      <c r="H11">
        <v>85</v>
      </c>
      <c r="I11">
        <f>H11*3500</f>
        <v>297500</v>
      </c>
      <c r="J11">
        <v>54</v>
      </c>
      <c r="K11">
        <f>J11*3500</f>
        <v>189000</v>
      </c>
    </row>
    <row r="12" spans="1:11" x14ac:dyDescent="0.25">
      <c r="A12" t="s">
        <v>22</v>
      </c>
      <c r="B12" t="s">
        <v>24</v>
      </c>
      <c r="C12">
        <v>202512</v>
      </c>
      <c r="D12">
        <v>2</v>
      </c>
      <c r="E12">
        <f>D12*1000</f>
        <v>2000</v>
      </c>
      <c r="F12">
        <v>7</v>
      </c>
      <c r="G12">
        <f>F12*1000</f>
        <v>7000</v>
      </c>
      <c r="H12">
        <v>95</v>
      </c>
      <c r="I12">
        <f>H12*5500</f>
        <v>522500</v>
      </c>
      <c r="J12">
        <v>23</v>
      </c>
      <c r="K12">
        <f>J12*5500</f>
        <v>126500</v>
      </c>
    </row>
    <row r="13" spans="1:11" x14ac:dyDescent="0.25">
      <c r="A13" t="s">
        <v>22</v>
      </c>
      <c r="B13" t="s">
        <v>25</v>
      </c>
      <c r="C13">
        <v>202512</v>
      </c>
      <c r="D13">
        <v>3</v>
      </c>
      <c r="E13">
        <f>D13*5500</f>
        <v>16500</v>
      </c>
      <c r="F13">
        <v>1</v>
      </c>
      <c r="G13">
        <f>F13*5500</f>
        <v>5500</v>
      </c>
      <c r="H13">
        <v>34</v>
      </c>
      <c r="I13">
        <f>H13*8500</f>
        <v>289000</v>
      </c>
      <c r="J13">
        <v>58</v>
      </c>
      <c r="K13">
        <f>J13*8500</f>
        <v>493000</v>
      </c>
    </row>
    <row r="14" spans="1:11" x14ac:dyDescent="0.25">
      <c r="K1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Silva</dc:creator>
  <cp:lastModifiedBy>Tiago Silva</cp:lastModifiedBy>
  <dcterms:created xsi:type="dcterms:W3CDTF">2026-01-23T00:44:22Z</dcterms:created>
  <dcterms:modified xsi:type="dcterms:W3CDTF">2026-01-23T00:56:51Z</dcterms:modified>
</cp:coreProperties>
</file>